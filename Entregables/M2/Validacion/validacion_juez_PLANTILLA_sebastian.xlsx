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\Universidad\IA\Topicos_IA_Proyecto_Digitdeck\Entregables\M2\Validacion\"/>
    </mc:Choice>
  </mc:AlternateContent>
  <xr:revisionPtr revIDLastSave="0" documentId="8_{556C888F-BF90-4CCA-A448-84B751F0447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Anotacion" sheetId="2" r:id="rId2"/>
    <sheet name="Pantallas" sheetId="3" r:id="rId3"/>
  </sheets>
  <definedNames>
    <definedName name="_xlnm._FilterDatabase" localSheetId="1" hidden="1">Anotacion!$A$1:$G$51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</calcChain>
</file>

<file path=xl/sharedStrings.xml><?xml version="1.0" encoding="utf-8"?>
<sst xmlns="http://schemas.openxmlformats.org/spreadsheetml/2006/main" count="281" uniqueCount="133">
  <si>
    <t>Digitdeck · M2 · Validación humana del juez</t>
  </si>
  <si>
    <t>Qué es esto</t>
  </si>
  <si>
    <t>El harness de M2 usa un modelo como juez. Antes de creerle hay que comprobar que una persona, con la misma regla, decide lo mismo. Hay dos hojas y miden dos cosas distintas.</t>
  </si>
  <si>
    <t>Hoja 'Anotacion' — 50 filas — valida las DECISIONES del juez</t>
  </si>
  <si>
    <t>Cada fila es una consulta y un producto. En la columna amarilla escribe 1 o 0:</t>
  </si>
  <si>
    <t xml:space="preserve">   1 = la persona que escribió esa consulta aceptaría este producto como respuesta</t>
  </si>
  <si>
    <t xml:space="preserve">   0 = no lo aceptaría</t>
  </si>
  <si>
    <t>Un producto de la misma categoría que incumple algún detalle que la consulta sí pide (marca, modelo, capacidad, talla, o un 'sin' algo) es 0, aunque el título repita las palabras de la consulta. Si la consulta es amplia y no pide detalles, basta con que sea de esa categoría o marca.</t>
  </si>
  <si>
    <t>Hoja 'Pantallas' — 10 filas — valida la NOTA de 1 a 5</t>
  </si>
  <si>
    <t>Cada fila es una pantalla completa de resultados, como la vería la persona. Puntúala del 1 al 5:</t>
  </si>
  <si>
    <t>5 = encontré lo que buscaba en los dos primeros resultados
4 = está lo que buscaba, pero hay algo fuera de lugar por encima
3 = hay algo que sirve, mezclado con productos parecidos que no son lo que pedí
2 = casi todo son productos parecidos pero equivocados
1 = nada de esto es lo que buscaba</t>
  </si>
  <si>
    <t>Reglas para las dos hojas</t>
  </si>
  <si>
    <t>· Responde solo con lo que ves: la consulta, el producto o la pantalla, y el criterio del equipo.</t>
  </si>
  <si>
    <t>· NO lo comentes con el resto del equipo hasta que los cuatro hayan terminado. El valor de esta prueba está en que las anotaciones sean independientes: si nos ponemos de acuerdo antes, la concordancia que midamos no significa nada.</t>
  </si>
  <si>
    <t>· No busques el producto en internet. Decide con el título, que es lo único que ve el sistema.</t>
  </si>
  <si>
    <t>· Si dudas, escoge lo que defenderías ante el líder de ecommerce y anótalo en la columna de notas.</t>
  </si>
  <si>
    <t>Cuando termines: guarda el archivo como  anotacion_TUNOMBRE.xlsx  en esta misma carpeta.</t>
  </si>
  <si>
    <t>Ejemplo resuelto de la hoja binaria (no está en la anotación real)</t>
  </si>
  <si>
    <t>consulta</t>
  </si>
  <si>
    <t>producto</t>
  </si>
  <si>
    <t>criterio del equipo</t>
  </si>
  <si>
    <t>1/0</t>
  </si>
  <si>
    <t>por qué</t>
  </si>
  <si>
    <t>zapatillas running mujer talla 39</t>
  </si>
  <si>
    <t>adidas duramo 10, zapatillas de running para mujer, talla 39</t>
  </si>
  <si>
    <t>zapatillas de running de mujer en la talla pedida</t>
  </si>
  <si>
    <t>1</t>
  </si>
  <si>
    <t>cumple deporte, género y talla</t>
  </si>
  <si>
    <t>adidas duramo 10, zapatillas de running para hombre, talla 44</t>
  </si>
  <si>
    <t>0</t>
  </si>
  <si>
    <t>mismo modelo pero de hombre y otra talla: repite las palabras, no cumple el detalle</t>
  </si>
  <si>
    <t>Control de avance</t>
  </si>
  <si>
    <t>Hoja Anotacion, filas respondidas (de 50)</t>
  </si>
  <si>
    <t>Valores inválidos en Anotacion (debe dar 0)</t>
  </si>
  <si>
    <t>Hoja Pantallas, filas respondidas (de 10)</t>
  </si>
  <si>
    <t>Valores inválidos en Pantallas (debe dar 0)</t>
  </si>
  <si>
    <t>n</t>
  </si>
  <si>
    <t>caso</t>
  </si>
  <si>
    <t>criterio del equipo para esa consulta</t>
  </si>
  <si>
    <t>tu veredicto (1/0)</t>
  </si>
  <si>
    <t>nota (opcional)</t>
  </si>
  <si>
    <t>g06</t>
  </si>
  <si>
    <t>perfumes hombre versace eros</t>
  </si>
  <si>
    <t>fragancias de la línea pedida de esa marca; otras fragancias de la misma marca son sustitutos y no deben ocupar la primera pantalla</t>
  </si>
  <si>
    <t>versace eros eau de toilette vaporizador 100 ml</t>
  </si>
  <si>
    <t>g05</t>
  </si>
  <si>
    <t>calcetines sin goma hombre</t>
  </si>
  <si>
    <t>calcetines de hombre sin goma; calcetines de hombre normales no cuentan, y los sin goma de mujer o infantiles tampoco</t>
  </si>
  <si>
    <t>puma sport cush crew 6p, calcetines unisex, paquete de 6, negro (black), eu 39-42</t>
  </si>
  <si>
    <t>g04</t>
  </si>
  <si>
    <t>pasteles sin azucar</t>
  </si>
  <si>
    <t>el producto debe ser efectivamente sin azúcar; un pastel normal comparte todas las palabras de la consulta y es exactamente lo que no se pidió</t>
  </si>
  <si>
    <t>productos san diego rosquillas al jerez - 2000 gr</t>
  </si>
  <si>
    <t>g03</t>
  </si>
  <si>
    <t>ordenador sobremesa i5 16gb ram ssd</t>
  </si>
  <si>
    <t>equipos de sobremesa que cumplan las tres especificaciones; portátiles, equipos con menos RAM o sin SSD no cuentan aunque coincidan en el resto de palabras</t>
  </si>
  <si>
    <t>lenovo thinkcentre m93p sff intel core i5-4570 win10 pro - ordenador de sobremesa lenovo thincentre m93 sff i5 prozessor dvd laufwerk desktop pc 16gb ram - 240 gb ssd (reacondicionado)</t>
  </si>
  <si>
    <t>g01</t>
  </si>
  <si>
    <t>móvil xiaomi redmi note 7 negro</t>
  </si>
  <si>
    <t>el teléfono del modelo y color pedidos debe estar en la primera pantalla; fundas, protectores y otros modelos de la misma familia son sustitutos y no cuentan</t>
  </si>
  <si>
    <t>xiaomi redmi note 7 smartphones de 6.3'' pantalla completa, 4gb ram + 128gb rom, snapdragon 660 procesador octa-core, 13mp delantero y 48mp + 5mp doble cámara trasera teléfonos móviles (azul)</t>
  </si>
  <si>
    <t>g10</t>
  </si>
  <si>
    <t>matrix triologia</t>
  </si>
  <si>
    <t>el pack de la trilogía; las películas sueltas de la saga son sustitutos y el sistema no debería resolver la consulta con una sola de ellas</t>
  </si>
  <si>
    <t>matrix - ultimate collection (limited) (4 blu-ray+3 dvd) [italia] [blu-ray]</t>
  </si>
  <si>
    <t>eros eau de toilette vapo 100 ml-hombre</t>
  </si>
  <si>
    <t>g02</t>
  </si>
  <si>
    <t>funda xiaomi mi 9 con esquinas reforzadas</t>
  </si>
  <si>
    <t>fundas del modelo exacto y con refuerzo de esquinas; fundas del mismo modelo sin el atributo, o de otro modelo Xiaomi, no cuentan</t>
  </si>
  <si>
    <t>lk compatible con xiaomi mi 9t / mi 9t pro protector de pantalla,3 pack,9h dureza cristal templado, equipado con marco de posicionamiento,vidrio templado screen protector</t>
  </si>
  <si>
    <t>dreamer by gianni versace, 100ml</t>
  </si>
  <si>
    <t>pasteles sin azúcar: hornear pasteles increíbles utilizando stevia y xilitol (backen - die besten rezepte)</t>
  </si>
  <si>
    <t>g07</t>
  </si>
  <si>
    <t>libro lengua 3 primaria santillana</t>
  </si>
  <si>
    <t>el libro del curso, la materia y la editorial pedidos; otros cursos de la misma colección, u otras editoriales del mismo curso, no cuentan</t>
  </si>
  <si>
    <t>lengua+ serie practica tareas y destrezas comunicativas 3 primaria</t>
  </si>
  <si>
    <t>puma invisible sneaker - calcetines tobilleros unisex, pack de 6, color blanco (white), talla 43/46</t>
  </si>
  <si>
    <t>hp elitedesk 800 g1 - ordenador de sobremesa (intel core i5-4570, 16gb de ram, disco ssd de 480gb, sin lector, windows 10 pro es 64) - negro (reacondicionado)</t>
  </si>
  <si>
    <t>xiaomi redmi note 7 16 cm (6.3") 4 gb 64 gb ranura híbrida dual sim 4g azul 4000 mah - smartphone (16 cm (6.3"), 4 gb, 64 gb, 48 mp, android 9.0, azul)</t>
  </si>
  <si>
    <t>g08</t>
  </si>
  <si>
    <t>filtro de gasoil renault trafic</t>
  </si>
  <si>
    <t>filtro de gasoil compatible con ese vehículo; filtros de aire, de aceite o para otros modelos no cuentan aunque sean de la misma marca de repuesto</t>
  </si>
  <si>
    <t>bosch n1705 - filtro diésel para vehículos</t>
  </si>
  <si>
    <t>original mann-filter filtro de combustible wk 712/2 – para vehículos de utilidad</t>
  </si>
  <si>
    <t>lumar ordenador gaming sobremesa/intel core i5 quad core 3.6ghz / 16gb ram / 960gb ssd + 2tb hdd/gráfica dedicada nvidia geforce gtx 750 ti 4gb / hdmi/usb 3.0 / wifi/windows 10 pro trial</t>
  </si>
  <si>
    <t>puma quarter plain, calcetín unisex adulto, gris (anthraci/l mel grey), 35-38, (pack de 3)</t>
  </si>
  <si>
    <t>mann filter p 716/1 x filtro de combustible</t>
  </si>
  <si>
    <t>xiaomi redmi note 7, smartphone, usb tipo c, adreno 512, android, negro (space black)</t>
  </si>
  <si>
    <t>g09</t>
  </si>
  <si>
    <t>apple accesorios</t>
  </si>
  <si>
    <t>accesorios legítimos de la marca en la primera pantalla; productos de otras marcas compatibles son sustitutos, y un dispositivo completo no es un accesorio</t>
  </si>
  <si>
    <t>lamavido® compatible for apple watch stand, lamavido soporte de iwatch soporte cargador madera de bambú para iphone 6 plus/6/5s/5/4s</t>
  </si>
  <si>
    <t>lázaro bizcocho de limón calado - 350 g</t>
  </si>
  <si>
    <t>matematicas 3 primaria saber hacer contigo</t>
  </si>
  <si>
    <t>ultimate matrix collection [10 [alemania] [dvd]</t>
  </si>
  <si>
    <t>frtma magnetic sleeve for apple pencil, soft silicone holder grip for apple ipad pro pencil, ivory white (apple pencil not included)</t>
  </si>
  <si>
    <t>cuaderno lengua 3 primaria 2 trim saber hacer contigo</t>
  </si>
  <si>
    <t>versace versace l'homme eau de toilette vaporizador 100 ml</t>
  </si>
  <si>
    <t>puma quarter 3p - calcetines de deporte para hombre, color negro, talla 43-46 (3 pares)</t>
  </si>
  <si>
    <t>vca pack de 6 calcetines lisos sin goma para hombre, calcetines diabéticos</t>
  </si>
  <si>
    <t>apple cable de conector lightning a usb (1m)</t>
  </si>
  <si>
    <t>matrix - trilogy (3 blu-ray) [blu-ray]</t>
  </si>
  <si>
    <t>original mann-filter filtro de aire c 3251/1- para automóviles</t>
  </si>
  <si>
    <t>cuaderno lengua 3 primaria 3 trim saber hacer contigo</t>
  </si>
  <si>
    <t>omoton teclado bluetooth español ultra-delgado para ipad/ipad pro/ipad air/ipad mini/iphone y todas sistemas de ipados/ios, no se adapta a mac, macbook - blanco</t>
  </si>
  <si>
    <t>hp elite 8300 - ordenador de sobremesa (intel core i5-3470, 8gb de ram, disco ssd de 240gb, lector dvd, windows 10 pro es 64) - negro (reacondicionado)</t>
  </si>
  <si>
    <t>matrix blu-ray digibook [blu-ray]</t>
  </si>
  <si>
    <t>matrix - la trilogia vinyl edition (3 blu-ray) [italia] [blu-ray]</t>
  </si>
  <si>
    <t>xiaomi redmi note 7 smartphones de 6.3'' pantalla completa, 4gb ram + 128gb rom, snapdragon 660 procesador octa-core, 13mp delantero y 48mp + 5mp doble cámara trasera teléfonos móviles (negro)</t>
  </si>
  <si>
    <t>eros para disco duro de los hombres de por el gigante - 100 ml eau de toilette de aerosol de la</t>
  </si>
  <si>
    <t>mann-filterp 726 x original set de filtro de combustible con junta / juego de juntas, para automóviles y camiones</t>
  </si>
  <si>
    <t>sleo funda para xiaomi mi 9 carcasa protectora silicona tpu [crystal clear] suave ultra delgada flexible case bumper con esquinas reforzadas antideslizante rasguño resistente cover - transparente</t>
  </si>
  <si>
    <t>vacaciones santillana, lengua, ortografía y gramática, 2 educación primaria. cuaderno - 9788429407570</t>
  </si>
  <si>
    <t>spigen funda rugged armor compatible con xiaomi mi 9 - negro mate</t>
  </si>
  <si>
    <t>ferilinso funda para xiaomi mi 9t pro/mi 9t [transparente tpu silicona carcasa] [10x anti-amarilleo] [compatible con la cristal templado protector de pantalla][anti-arañazos](transparente)</t>
  </si>
  <si>
    <t>hp elitedesk800 g1 sff - ordenador de sobremesa (intel core i5-4570 3.2 ghz, 8gb de ram, disco ssd 240gb, lector dvd, windows 10 pro) negro (reacondicionado)</t>
  </si>
  <si>
    <t>pasteles sin horno: 30 propuestas veganas, sin azúcar y sin gluten</t>
  </si>
  <si>
    <t>magdalenas sin azúcar y sin lactosa</t>
  </si>
  <si>
    <t>xiaomi redmi note 7 smartphones de 6.3'' pantalla completa, 4gb ram + 64gb rom, snapdragon 660 procesador octa-core, 13mp delantero y 48mp + 5mp doble cámara trasera teléfonos móviles (negro)</t>
  </si>
  <si>
    <t>deconext funda xiaomi 9,mi 9 carcasa ultra slim anti-rasguño y resistente huellas dactilares protectora caso de duro cover case para xiaomi mi 9 6,39" rosa suave</t>
  </si>
  <si>
    <t>apple lightning digital av adapter</t>
  </si>
  <si>
    <t>lo que muestra el buscador (en orden)</t>
  </si>
  <si>
    <t>tu nota (1-5)</t>
  </si>
  <si>
    <t>1. xiaomi redmi note 7, smartphone, usb tipo c, adreno 512, android, negro (space black)
2. xiaomi redmi note 8 smartphone,4gb 64gb mobilephone,pantalla completa de 6.3 ”,procesador snapdragon 665 octa core,quad cámara(48mp + 8mp + 2mp + 2mp) versión global(negro)
3. xiaomi redmi note 7 smartphones de 6.3'' pantalla completa, 4gb ram + 64gb rom, snapdragon 660 procesador octa-core, 13mp delantero y 48mp + 5mp doble cámara trasera teléfonos móviles (negro)
4. xiaomi redmi note 7 smartphones de 6.3'' pantalla completa, 4gb ram + 128gb rom, snapdragon 660 procesador octa-core, 13mp delantero y 48mp + 5mp doble cámara trasera teléfonos móviles (negro)
5. xiaomi redmi note 8 teléfono 4gb ram + 128gb rom, pantalla completa de 6.3”, procesador snapdragon 665 octa-core, 13mp frontal y 48mp ai cuatro cámara trasera móviles versión global (negro).</t>
  </si>
  <si>
    <t>1. xcyyoo funda transparente con cordón para xiaomi mi 9 lite 【versión popular 2019】 carcasa de movil con cuerda para colgar y esquinas reforzadas en silicona tpu - case y correa
2. deconext funda mi 9,mi 9 carcasa plustectora delgada y transparente con refuerzo en las esquinas parachoques y resistente a arañazos tpu flexible para xiaomi mi 9(2019) 6,39" claro
3. missdu compatible con funda xiaomi mi 9 se funda y protector de pantalla *2, transparente silicona tpu fundas crystal shell case panel trasero transparente y esquinas reforzadas
4. spigen funda rugged armor compatible con xiaomi mi 9 - negro mate
5. ferilinso funda para xiaomi mi 9t pro/mi 9t [transparente tpu silicona carcasa] [10x anti-amarilleo] [compatible con la cristal templado protector de pantalla][anti-arañazos](transparente)</t>
  </si>
  <si>
    <t>1. ordenador personal de sombremesa windows 10 pro, intel core i5-2400, ram 16 gb ddr3, ssd 240 gb, disco duro 1 tb, dvd-rw, hdmi vga
2. hp elitedesk 800 g1 sff - ordenador de sobremesa (intel core i5-4570, 3,2 ghz, 16gb de ram, disco 480gb ssd, sin lector, windows 10 pro 64 bits) (reacondicionado)
3. ordenador de sobremesa hp elite 8300 sff (intel core i5-3470 3.2 ghz 16gb de ram disco ssd de 240gb + 500gb hdd lector dvd windows 10 pro es 64) (reacondicionado)
4. hp elitedesk 800 g1 - ordenador de sobremesa + tft 23'' (intel core i5-4570, 3.2 ghz, 16gb de ram, disco ssd 240gb + 500gb hdd, wifi pci, windows 10 pro 64 bits) (reacondicionado)
5. lumar ordenador gaming sobremesa/intel core i5 quad core 3.6ghz / 16gb ram / 960gb ssd + 2tb hdd/gráfica dedicada nvidia geforce gtx 750 ti 4gb / hdmi/usb 3.0 / wifi/windows 10 pro trial</t>
  </si>
  <si>
    <t>1. fruta deshidratada sin azucar añadido ecologica - mix 10 mango naranja platano manzana pera kaki melocoton piña melon arandanos 500 gr- 100% bio – ideal para pasteles cocteles o snack – sin gluten
2. pasteles sin horno: 30 propuestas veganas, sin azúcar y sin gluten
3. pasteles sin azúcar: hornear pasteles increíbles utilizando stevia y xilitol (backen - die besten rezepte)
4. eishion colorante alimentario liposoluble liquido set 12colores colorante para reposteria para cremas pasteles macarons 10ml
5. pastelería y repostería para diabéticos: mas de 50 recetas de masas, galletas y pasteles aptos para diabéticos</t>
  </si>
  <si>
    <t>1. occulto calcetines diabeticos sin costuras (10-20 pares), calcetines sin costura sin goma para hombre y mujer 10 pares | negro, 39-42
2. 6 pares de calcetines de algodón orgánico para hombre y mujer, sin costuras, con cintura cómoda. beige 39-42
3. vca 8 pares de calcetines para hombre comfort en color marrón, sin cintura de goma, calcetines de hombre de algodón – cottonprime marrón 39-42
4. calcetines (3 pares) de running, ciclismo, tenis, padel,… calcetines sin costuras unisex con puntera y talón reforzados. calcetines tobilleros de deporte. anti-rozaduras y con gomas anti-presión.
5. caudblor 12 pares no show calcetines de corte bajo para hombres y mujeres, blanco/gris/negro-hombre</t>
  </si>
  <si>
    <t>1. versace versace eros flame a/s lotion 100 ml
2. versace eros after shave loción - 100 ml
3. versace eros after shave bálsamo - 100 ml
4. versace eros flame 50 ml 50 ml
5. versace - eros flame - eau de parfum - 30 ml</t>
  </si>
  <si>
    <t>1. nuevo diccionario escolar de la lengua española ( de 3 a 6 primaria) santillana (dictionaries) - 9788468001579
2. lengua+ serie comunica 3 primaria
3. vacaciones santillana 3 primaria actividades de repaso para el verano
4. lengua 3 primaria saber hacer contigo
5. vacaciones santillana, lengua, ortografía y gramática, 2 educación primaria. cuaderno - 9788429407570</t>
  </si>
  <si>
    <t>1. delphi hdf296 filtro de combustible
2. bosch n1724 - filtro diésel para vehículos
3. bosch n1705 - filtro diésel para vehículos
4. mann filter p 716/1 x filtro de combustible
5. mecafilter elg5231 - fitro de gas-oil</t>
  </si>
  <si>
    <t>1. apple cable de conector lightning a usb (1m)
2. apple lightning digital av adapter
3. apple airpods con estuche de carga con cable
4. [2 pack] funda apple watch 40mm series se 6 5 4, protector pantalla iwatch case protección completo anti-rasguños ultra transparente funda suave tpu, para nueva apple watch series se 6 5 4 40mm
5. lamavido® compatible for apple watch stand, lamavido soporte de iwatch soporte cargador madera de bambú para iphone 6 plus/6/5s/5/4s</t>
  </si>
  <si>
    <t>1. ultimate matrix collection [10 [alemania] [dvd]
2. matrix blu-ray digibook [blu-ray]
3. matrix reloaded steelbook blu-ray [blu-ray]
4. matrix - trilogy (3 blu-ray) [blu-ray]
5. matrix - la trilogia vinyl edition (3 blu-ray) [italia] [blu-ray]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</si>
</sst>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sz val="10"/>
      <name val="Arial"/>
    </font>
    <font>
      <b/>
      <sz val="11"/>
      <color rgb="FF1F3864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6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workbookViewId="0">
      <selection activeCell="A10" sqref="A10"/>
    </sheetView>
  </sheetViews>
  <sheetFormatPr baseColWidth="10" defaultColWidth="9.140625" defaultRowHeight="15" x14ac:dyDescent="0.25"/>
  <cols>
    <col min="1" max="1" width="64" customWidth="1"/>
    <col min="2" max="2" width="46" customWidth="1"/>
    <col min="3" max="3" width="34" customWidth="1"/>
    <col min="4" max="4" width="12" customWidth="1"/>
    <col min="5" max="5" width="34" customWidth="1"/>
  </cols>
  <sheetData>
    <row r="1" spans="1:1" ht="19.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38.25" x14ac:dyDescent="0.25">
      <c r="A4" s="2" t="s">
        <v>2</v>
      </c>
    </row>
    <row r="5" spans="1:1" x14ac:dyDescent="0.25">
      <c r="A5" s="2"/>
    </row>
    <row r="6" spans="1:1" ht="30" x14ac:dyDescent="0.25">
      <c r="A6" s="3" t="s">
        <v>3</v>
      </c>
    </row>
    <row r="7" spans="1:1" ht="25.5" x14ac:dyDescent="0.25">
      <c r="A7" s="2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ht="51" x14ac:dyDescent="0.25">
      <c r="A10" s="2" t="s">
        <v>7</v>
      </c>
    </row>
    <row r="11" spans="1:1" x14ac:dyDescent="0.25">
      <c r="A11" s="2"/>
    </row>
    <row r="12" spans="1:1" x14ac:dyDescent="0.25">
      <c r="A12" s="3" t="s">
        <v>8</v>
      </c>
    </row>
    <row r="13" spans="1:1" ht="25.5" x14ac:dyDescent="0.25">
      <c r="A13" s="2" t="s">
        <v>9</v>
      </c>
    </row>
    <row r="14" spans="1:1" ht="76.5" x14ac:dyDescent="0.25">
      <c r="A14" s="2" t="s">
        <v>10</v>
      </c>
    </row>
    <row r="19" spans="1:5" x14ac:dyDescent="0.25">
      <c r="A19" s="2"/>
    </row>
    <row r="20" spans="1:5" x14ac:dyDescent="0.25">
      <c r="A20" s="3" t="s">
        <v>11</v>
      </c>
    </row>
    <row r="21" spans="1:5" ht="25.5" x14ac:dyDescent="0.25">
      <c r="A21" s="2" t="s">
        <v>12</v>
      </c>
    </row>
    <row r="22" spans="1:5" ht="51" x14ac:dyDescent="0.25">
      <c r="A22" s="2" t="s">
        <v>13</v>
      </c>
    </row>
    <row r="23" spans="1:5" ht="25.5" x14ac:dyDescent="0.25">
      <c r="A23" s="2" t="s">
        <v>14</v>
      </c>
    </row>
    <row r="24" spans="1:5" ht="25.5" x14ac:dyDescent="0.25">
      <c r="A24" s="2" t="s">
        <v>15</v>
      </c>
    </row>
    <row r="25" spans="1:5" x14ac:dyDescent="0.25">
      <c r="A25" s="2"/>
    </row>
    <row r="26" spans="1:5" ht="30" x14ac:dyDescent="0.25">
      <c r="A26" s="3" t="s">
        <v>16</v>
      </c>
    </row>
    <row r="27" spans="1:5" x14ac:dyDescent="0.25">
      <c r="A27" s="2"/>
    </row>
    <row r="28" spans="1:5" ht="30" x14ac:dyDescent="0.25">
      <c r="A28" s="3" t="s">
        <v>17</v>
      </c>
    </row>
    <row r="30" spans="1:5" x14ac:dyDescent="0.25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</row>
    <row r="31" spans="1:5" ht="24" x14ac:dyDescent="0.25">
      <c r="A31" s="5" t="s">
        <v>23</v>
      </c>
      <c r="B31" s="5" t="s">
        <v>24</v>
      </c>
      <c r="C31" s="5" t="s">
        <v>25</v>
      </c>
      <c r="D31" s="6" t="s">
        <v>26</v>
      </c>
      <c r="E31" s="5" t="s">
        <v>27</v>
      </c>
    </row>
    <row r="32" spans="1:5" ht="36" x14ac:dyDescent="0.25">
      <c r="A32" s="5" t="s">
        <v>23</v>
      </c>
      <c r="B32" s="5" t="s">
        <v>28</v>
      </c>
      <c r="C32" s="5" t="s">
        <v>25</v>
      </c>
      <c r="D32" s="6" t="s">
        <v>29</v>
      </c>
      <c r="E32" s="5" t="s">
        <v>30</v>
      </c>
    </row>
    <row r="35" spans="1:2" x14ac:dyDescent="0.25">
      <c r="A35" s="7" t="s">
        <v>31</v>
      </c>
    </row>
    <row r="36" spans="1:2" x14ac:dyDescent="0.25">
      <c r="A36" s="8" t="s">
        <v>32</v>
      </c>
      <c r="B36" s="9">
        <f>COUNTA(Anotacion!F2:F51)</f>
        <v>50</v>
      </c>
    </row>
    <row r="37" spans="1:2" x14ac:dyDescent="0.25">
      <c r="A37" s="8" t="s">
        <v>33</v>
      </c>
      <c r="B37" s="9">
        <f>COUNTA(Anotacion!F2:F51)-COUNTIF(Anotacion!F2:F51,1)-COUNTIF(Anotacion!F2:F51,0)</f>
        <v>0</v>
      </c>
    </row>
    <row r="38" spans="1:2" x14ac:dyDescent="0.25">
      <c r="A38" s="8" t="s">
        <v>34</v>
      </c>
      <c r="B38" s="9">
        <f>COUNTA(Pantallas!E2:E11)</f>
        <v>10</v>
      </c>
    </row>
    <row r="39" spans="1:2" x14ac:dyDescent="0.25">
      <c r="A39" s="8" t="s">
        <v>35</v>
      </c>
      <c r="B39" s="9">
        <f>COUNTA(Pantallas!E2:E11)-COUNTIFS(Pantallas!E2:E11,"&gt;=1",Pantallas!E2:E11,"&lt;=5")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1" topLeftCell="A37" activePane="bottomLeft" state="frozen"/>
      <selection pane="bottomLeft" activeCell="F52" sqref="F52"/>
    </sheetView>
  </sheetViews>
  <sheetFormatPr baseColWidth="10" defaultColWidth="9.140625" defaultRowHeight="15" x14ac:dyDescent="0.25"/>
  <cols>
    <col min="1" max="1" width="5" customWidth="1"/>
    <col min="2" max="2" width="7" customWidth="1"/>
    <col min="3" max="3" width="30" customWidth="1"/>
    <col min="4" max="4" width="44" customWidth="1"/>
    <col min="5" max="5" width="62" customWidth="1"/>
    <col min="6" max="6" width="12" customWidth="1"/>
    <col min="7" max="7" width="30" customWidth="1"/>
  </cols>
  <sheetData>
    <row r="1" spans="1:7" ht="32.1" customHeight="1" x14ac:dyDescent="0.25">
      <c r="A1" s="10" t="s">
        <v>36</v>
      </c>
      <c r="B1" s="10" t="s">
        <v>37</v>
      </c>
      <c r="C1" s="10" t="s">
        <v>18</v>
      </c>
      <c r="D1" s="10" t="s">
        <v>38</v>
      </c>
      <c r="E1" s="10" t="s">
        <v>19</v>
      </c>
      <c r="F1" s="10" t="s">
        <v>39</v>
      </c>
      <c r="G1" s="10" t="s">
        <v>40</v>
      </c>
    </row>
    <row r="2" spans="1:7" ht="42" customHeight="1" x14ac:dyDescent="0.25">
      <c r="A2" s="11">
        <v>1</v>
      </c>
      <c r="B2" s="11" t="s">
        <v>41</v>
      </c>
      <c r="C2" s="11" t="s">
        <v>42</v>
      </c>
      <c r="D2" s="11" t="s">
        <v>43</v>
      </c>
      <c r="E2" s="11" t="s">
        <v>44</v>
      </c>
      <c r="F2" s="12">
        <v>1</v>
      </c>
      <c r="G2" s="11"/>
    </row>
    <row r="3" spans="1:7" ht="42" customHeight="1" x14ac:dyDescent="0.25">
      <c r="A3" s="11">
        <v>2</v>
      </c>
      <c r="B3" s="11" t="s">
        <v>45</v>
      </c>
      <c r="C3" s="11" t="s">
        <v>46</v>
      </c>
      <c r="D3" s="11" t="s">
        <v>47</v>
      </c>
      <c r="E3" s="11" t="s">
        <v>48</v>
      </c>
      <c r="F3" s="12">
        <v>1</v>
      </c>
      <c r="G3" s="11"/>
    </row>
    <row r="4" spans="1:7" ht="42" customHeight="1" x14ac:dyDescent="0.25">
      <c r="A4" s="11">
        <v>3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0</v>
      </c>
      <c r="G4" s="11"/>
    </row>
    <row r="5" spans="1:7" ht="42" customHeight="1" x14ac:dyDescent="0.25">
      <c r="A5" s="11">
        <v>4</v>
      </c>
      <c r="B5" s="11" t="s">
        <v>53</v>
      </c>
      <c r="C5" s="11" t="s">
        <v>54</v>
      </c>
      <c r="D5" s="11" t="s">
        <v>55</v>
      </c>
      <c r="E5" s="11" t="s">
        <v>56</v>
      </c>
      <c r="F5" s="12">
        <v>1</v>
      </c>
      <c r="G5" s="11"/>
    </row>
    <row r="6" spans="1:7" ht="42" customHeight="1" x14ac:dyDescent="0.25">
      <c r="A6" s="11">
        <v>5</v>
      </c>
      <c r="B6" s="11" t="s">
        <v>57</v>
      </c>
      <c r="C6" s="11" t="s">
        <v>58</v>
      </c>
      <c r="D6" s="11" t="s">
        <v>59</v>
      </c>
      <c r="E6" s="11" t="s">
        <v>60</v>
      </c>
      <c r="F6" s="12">
        <v>0</v>
      </c>
      <c r="G6" s="11"/>
    </row>
    <row r="7" spans="1:7" ht="42" customHeight="1" x14ac:dyDescent="0.25">
      <c r="A7" s="11">
        <v>6</v>
      </c>
      <c r="B7" s="11" t="s">
        <v>61</v>
      </c>
      <c r="C7" s="11" t="s">
        <v>62</v>
      </c>
      <c r="D7" s="11" t="s">
        <v>63</v>
      </c>
      <c r="E7" s="11" t="s">
        <v>64</v>
      </c>
      <c r="F7" s="12">
        <v>1</v>
      </c>
      <c r="G7" s="11"/>
    </row>
    <row r="8" spans="1:7" ht="42" customHeight="1" x14ac:dyDescent="0.25">
      <c r="A8" s="11">
        <v>7</v>
      </c>
      <c r="B8" s="11" t="s">
        <v>41</v>
      </c>
      <c r="C8" s="11" t="s">
        <v>42</v>
      </c>
      <c r="D8" s="11" t="s">
        <v>43</v>
      </c>
      <c r="E8" s="11" t="s">
        <v>65</v>
      </c>
      <c r="F8" s="12">
        <v>1</v>
      </c>
      <c r="G8" s="11"/>
    </row>
    <row r="9" spans="1:7" ht="42" customHeight="1" x14ac:dyDescent="0.25">
      <c r="A9" s="11">
        <v>8</v>
      </c>
      <c r="B9" s="11" t="s">
        <v>66</v>
      </c>
      <c r="C9" s="11" t="s">
        <v>67</v>
      </c>
      <c r="D9" s="11" t="s">
        <v>68</v>
      </c>
      <c r="E9" s="11" t="s">
        <v>69</v>
      </c>
      <c r="F9" s="12">
        <v>0</v>
      </c>
      <c r="G9" s="11"/>
    </row>
    <row r="10" spans="1:7" ht="42" customHeight="1" x14ac:dyDescent="0.25">
      <c r="A10" s="11">
        <v>9</v>
      </c>
      <c r="B10" s="11" t="s">
        <v>41</v>
      </c>
      <c r="C10" s="11" t="s">
        <v>42</v>
      </c>
      <c r="D10" s="11" t="s">
        <v>43</v>
      </c>
      <c r="E10" s="11" t="s">
        <v>70</v>
      </c>
      <c r="F10" s="12">
        <v>0</v>
      </c>
      <c r="G10" s="11"/>
    </row>
    <row r="11" spans="1:7" ht="42" customHeight="1" x14ac:dyDescent="0.25">
      <c r="A11" s="11">
        <v>10</v>
      </c>
      <c r="B11" s="11" t="s">
        <v>49</v>
      </c>
      <c r="C11" s="11" t="s">
        <v>50</v>
      </c>
      <c r="D11" s="11" t="s">
        <v>51</v>
      </c>
      <c r="E11" s="11" t="s">
        <v>71</v>
      </c>
      <c r="F11" s="12">
        <v>1</v>
      </c>
      <c r="G11" s="11"/>
    </row>
    <row r="12" spans="1:7" ht="42" customHeight="1" x14ac:dyDescent="0.25">
      <c r="A12" s="11">
        <v>11</v>
      </c>
      <c r="B12" s="11" t="s">
        <v>72</v>
      </c>
      <c r="C12" s="11" t="s">
        <v>73</v>
      </c>
      <c r="D12" s="11" t="s">
        <v>74</v>
      </c>
      <c r="E12" s="11" t="s">
        <v>75</v>
      </c>
      <c r="F12" s="12">
        <v>1</v>
      </c>
      <c r="G12" s="11"/>
    </row>
    <row r="13" spans="1:7" ht="42" customHeight="1" x14ac:dyDescent="0.25">
      <c r="A13" s="11">
        <v>12</v>
      </c>
      <c r="B13" s="11" t="s">
        <v>45</v>
      </c>
      <c r="C13" s="11" t="s">
        <v>46</v>
      </c>
      <c r="D13" s="11" t="s">
        <v>47</v>
      </c>
      <c r="E13" s="11" t="s">
        <v>76</v>
      </c>
      <c r="F13" s="12">
        <v>1</v>
      </c>
      <c r="G13" s="11"/>
    </row>
    <row r="14" spans="1:7" ht="42" customHeight="1" x14ac:dyDescent="0.25">
      <c r="A14" s="11">
        <v>13</v>
      </c>
      <c r="B14" s="11" t="s">
        <v>53</v>
      </c>
      <c r="C14" s="11" t="s">
        <v>54</v>
      </c>
      <c r="D14" s="11" t="s">
        <v>55</v>
      </c>
      <c r="E14" s="11" t="s">
        <v>77</v>
      </c>
      <c r="F14" s="12">
        <v>0</v>
      </c>
      <c r="G14" s="11"/>
    </row>
    <row r="15" spans="1:7" ht="42" customHeight="1" x14ac:dyDescent="0.25">
      <c r="A15" s="11">
        <v>14</v>
      </c>
      <c r="B15" s="11" t="s">
        <v>57</v>
      </c>
      <c r="C15" s="11" t="s">
        <v>58</v>
      </c>
      <c r="D15" s="11" t="s">
        <v>59</v>
      </c>
      <c r="E15" s="11" t="s">
        <v>78</v>
      </c>
      <c r="F15" s="12">
        <v>0</v>
      </c>
      <c r="G15" s="11"/>
    </row>
    <row r="16" spans="1:7" ht="42" customHeight="1" x14ac:dyDescent="0.25">
      <c r="A16" s="11">
        <v>15</v>
      </c>
      <c r="B16" s="11" t="s">
        <v>79</v>
      </c>
      <c r="C16" s="11" t="s">
        <v>80</v>
      </c>
      <c r="D16" s="11" t="s">
        <v>81</v>
      </c>
      <c r="E16" s="11" t="s">
        <v>82</v>
      </c>
      <c r="F16" s="12">
        <v>0</v>
      </c>
      <c r="G16" s="11"/>
    </row>
    <row r="17" spans="1:7" ht="42" customHeight="1" x14ac:dyDescent="0.25">
      <c r="A17" s="11">
        <v>16</v>
      </c>
      <c r="B17" s="11" t="s">
        <v>79</v>
      </c>
      <c r="C17" s="11" t="s">
        <v>80</v>
      </c>
      <c r="D17" s="11" t="s">
        <v>81</v>
      </c>
      <c r="E17" s="11" t="s">
        <v>83</v>
      </c>
      <c r="F17" s="12">
        <v>0</v>
      </c>
      <c r="G17" s="11"/>
    </row>
    <row r="18" spans="1:7" ht="42" customHeight="1" x14ac:dyDescent="0.25">
      <c r="A18" s="11">
        <v>17</v>
      </c>
      <c r="B18" s="11" t="s">
        <v>53</v>
      </c>
      <c r="C18" s="11" t="s">
        <v>54</v>
      </c>
      <c r="D18" s="11" t="s">
        <v>55</v>
      </c>
      <c r="E18" s="11" t="s">
        <v>84</v>
      </c>
      <c r="F18" s="12">
        <v>1</v>
      </c>
      <c r="G18" s="11"/>
    </row>
    <row r="19" spans="1:7" ht="42" customHeight="1" x14ac:dyDescent="0.25">
      <c r="A19" s="11">
        <v>18</v>
      </c>
      <c r="B19" s="11" t="s">
        <v>45</v>
      </c>
      <c r="C19" s="11" t="s">
        <v>46</v>
      </c>
      <c r="D19" s="11" t="s">
        <v>47</v>
      </c>
      <c r="E19" s="11" t="s">
        <v>85</v>
      </c>
      <c r="F19" s="12">
        <v>0</v>
      </c>
      <c r="G19" s="11"/>
    </row>
    <row r="20" spans="1:7" ht="42" customHeight="1" x14ac:dyDescent="0.25">
      <c r="A20" s="11">
        <v>19</v>
      </c>
      <c r="B20" s="11" t="s">
        <v>79</v>
      </c>
      <c r="C20" s="11" t="s">
        <v>80</v>
      </c>
      <c r="D20" s="11" t="s">
        <v>81</v>
      </c>
      <c r="E20" s="11" t="s">
        <v>86</v>
      </c>
      <c r="F20" s="12">
        <v>0</v>
      </c>
      <c r="G20" s="11"/>
    </row>
    <row r="21" spans="1:7" ht="42" customHeight="1" x14ac:dyDescent="0.25">
      <c r="A21" s="11">
        <v>20</v>
      </c>
      <c r="B21" s="11" t="s">
        <v>57</v>
      </c>
      <c r="C21" s="11" t="s">
        <v>58</v>
      </c>
      <c r="D21" s="11" t="s">
        <v>59</v>
      </c>
      <c r="E21" s="11" t="s">
        <v>87</v>
      </c>
      <c r="F21" s="12">
        <v>1</v>
      </c>
      <c r="G21" s="11"/>
    </row>
    <row r="22" spans="1:7" ht="42" customHeight="1" x14ac:dyDescent="0.25">
      <c r="A22" s="11">
        <v>21</v>
      </c>
      <c r="B22" s="11" t="s">
        <v>88</v>
      </c>
      <c r="C22" s="11" t="s">
        <v>89</v>
      </c>
      <c r="D22" s="11" t="s">
        <v>90</v>
      </c>
      <c r="E22" s="11" t="s">
        <v>91</v>
      </c>
      <c r="F22" s="12">
        <v>0</v>
      </c>
      <c r="G22" s="11"/>
    </row>
    <row r="23" spans="1:7" ht="42" customHeight="1" x14ac:dyDescent="0.25">
      <c r="A23" s="11">
        <v>22</v>
      </c>
      <c r="B23" s="11" t="s">
        <v>49</v>
      </c>
      <c r="C23" s="11" t="s">
        <v>50</v>
      </c>
      <c r="D23" s="11" t="s">
        <v>51</v>
      </c>
      <c r="E23" s="11" t="s">
        <v>92</v>
      </c>
      <c r="F23" s="12">
        <v>0</v>
      </c>
      <c r="G23" s="11"/>
    </row>
    <row r="24" spans="1:7" ht="42" customHeight="1" x14ac:dyDescent="0.25">
      <c r="A24" s="11">
        <v>23</v>
      </c>
      <c r="B24" s="11" t="s">
        <v>72</v>
      </c>
      <c r="C24" s="11" t="s">
        <v>73</v>
      </c>
      <c r="D24" s="11" t="s">
        <v>74</v>
      </c>
      <c r="E24" s="11" t="s">
        <v>93</v>
      </c>
      <c r="F24" s="12">
        <v>0</v>
      </c>
      <c r="G24" s="11"/>
    </row>
    <row r="25" spans="1:7" ht="42" customHeight="1" x14ac:dyDescent="0.25">
      <c r="A25" s="11">
        <v>24</v>
      </c>
      <c r="B25" s="11" t="s">
        <v>61</v>
      </c>
      <c r="C25" s="11" t="s">
        <v>62</v>
      </c>
      <c r="D25" s="11" t="s">
        <v>63</v>
      </c>
      <c r="E25" s="11" t="s">
        <v>94</v>
      </c>
      <c r="F25" s="12">
        <v>1</v>
      </c>
      <c r="G25" s="11"/>
    </row>
    <row r="26" spans="1:7" ht="42" customHeight="1" x14ac:dyDescent="0.25">
      <c r="A26" s="11">
        <v>25</v>
      </c>
      <c r="B26" s="11" t="s">
        <v>88</v>
      </c>
      <c r="C26" s="11" t="s">
        <v>89</v>
      </c>
      <c r="D26" s="11" t="s">
        <v>90</v>
      </c>
      <c r="E26" s="11" t="s">
        <v>95</v>
      </c>
      <c r="F26" s="12">
        <v>0</v>
      </c>
      <c r="G26" s="11"/>
    </row>
    <row r="27" spans="1:7" ht="42" customHeight="1" x14ac:dyDescent="0.25">
      <c r="A27" s="11">
        <v>26</v>
      </c>
      <c r="B27" s="11" t="s">
        <v>72</v>
      </c>
      <c r="C27" s="11" t="s">
        <v>73</v>
      </c>
      <c r="D27" s="11" t="s">
        <v>74</v>
      </c>
      <c r="E27" s="11" t="s">
        <v>96</v>
      </c>
      <c r="F27" s="12">
        <v>0</v>
      </c>
      <c r="G27" s="11"/>
    </row>
    <row r="28" spans="1:7" ht="42" customHeight="1" x14ac:dyDescent="0.25">
      <c r="A28" s="11">
        <v>27</v>
      </c>
      <c r="B28" s="11" t="s">
        <v>41</v>
      </c>
      <c r="C28" s="11" t="s">
        <v>42</v>
      </c>
      <c r="D28" s="11" t="s">
        <v>43</v>
      </c>
      <c r="E28" s="11" t="s">
        <v>97</v>
      </c>
      <c r="F28" s="12">
        <v>0</v>
      </c>
      <c r="G28" s="11"/>
    </row>
    <row r="29" spans="1:7" ht="42" customHeight="1" x14ac:dyDescent="0.25">
      <c r="A29" s="11">
        <v>28</v>
      </c>
      <c r="B29" s="11" t="s">
        <v>45</v>
      </c>
      <c r="C29" s="11" t="s">
        <v>46</v>
      </c>
      <c r="D29" s="11" t="s">
        <v>47</v>
      </c>
      <c r="E29" s="11" t="s">
        <v>98</v>
      </c>
      <c r="F29" s="12">
        <v>0</v>
      </c>
      <c r="G29" s="11"/>
    </row>
    <row r="30" spans="1:7" ht="42" customHeight="1" x14ac:dyDescent="0.25">
      <c r="A30" s="11">
        <v>29</v>
      </c>
      <c r="B30" s="11" t="s">
        <v>45</v>
      </c>
      <c r="C30" s="11" t="s">
        <v>46</v>
      </c>
      <c r="D30" s="11" t="s">
        <v>47</v>
      </c>
      <c r="E30" s="11" t="s">
        <v>99</v>
      </c>
      <c r="F30" s="12">
        <v>1</v>
      </c>
      <c r="G30" s="11"/>
    </row>
    <row r="31" spans="1:7" ht="42" customHeight="1" x14ac:dyDescent="0.25">
      <c r="A31" s="11">
        <v>30</v>
      </c>
      <c r="B31" s="11" t="s">
        <v>88</v>
      </c>
      <c r="C31" s="11" t="s">
        <v>89</v>
      </c>
      <c r="D31" s="11" t="s">
        <v>90</v>
      </c>
      <c r="E31" s="11" t="s">
        <v>100</v>
      </c>
      <c r="F31" s="12">
        <v>1</v>
      </c>
      <c r="G31" s="11"/>
    </row>
    <row r="32" spans="1:7" ht="42" customHeight="1" x14ac:dyDescent="0.25">
      <c r="A32" s="11">
        <v>31</v>
      </c>
      <c r="B32" s="11" t="s">
        <v>61</v>
      </c>
      <c r="C32" s="11" t="s">
        <v>62</v>
      </c>
      <c r="D32" s="11" t="s">
        <v>63</v>
      </c>
      <c r="E32" s="11" t="s">
        <v>101</v>
      </c>
      <c r="F32" s="12">
        <v>1</v>
      </c>
      <c r="G32" s="11"/>
    </row>
    <row r="33" spans="1:7" ht="42" customHeight="1" x14ac:dyDescent="0.25">
      <c r="A33" s="11">
        <v>32</v>
      </c>
      <c r="B33" s="11" t="s">
        <v>79</v>
      </c>
      <c r="C33" s="11" t="s">
        <v>80</v>
      </c>
      <c r="D33" s="11" t="s">
        <v>81</v>
      </c>
      <c r="E33" s="11" t="s">
        <v>102</v>
      </c>
      <c r="F33" s="12">
        <v>0</v>
      </c>
      <c r="G33" s="11"/>
    </row>
    <row r="34" spans="1:7" ht="42" customHeight="1" x14ac:dyDescent="0.25">
      <c r="A34" s="11">
        <v>33</v>
      </c>
      <c r="B34" s="11" t="s">
        <v>72</v>
      </c>
      <c r="C34" s="11" t="s">
        <v>73</v>
      </c>
      <c r="D34" s="11" t="s">
        <v>74</v>
      </c>
      <c r="E34" s="11" t="s">
        <v>103</v>
      </c>
      <c r="F34" s="12">
        <v>0</v>
      </c>
      <c r="G34" s="11"/>
    </row>
    <row r="35" spans="1:7" ht="42" customHeight="1" x14ac:dyDescent="0.25">
      <c r="A35" s="11">
        <v>34</v>
      </c>
      <c r="B35" s="11" t="s">
        <v>88</v>
      </c>
      <c r="C35" s="11" t="s">
        <v>89</v>
      </c>
      <c r="D35" s="11" t="s">
        <v>90</v>
      </c>
      <c r="E35" s="11" t="s">
        <v>104</v>
      </c>
      <c r="F35" s="12">
        <v>0</v>
      </c>
      <c r="G35" s="11"/>
    </row>
    <row r="36" spans="1:7" ht="42" customHeight="1" x14ac:dyDescent="0.25">
      <c r="A36" s="11">
        <v>35</v>
      </c>
      <c r="B36" s="11" t="s">
        <v>53</v>
      </c>
      <c r="C36" s="11" t="s">
        <v>54</v>
      </c>
      <c r="D36" s="11" t="s">
        <v>55</v>
      </c>
      <c r="E36" s="11" t="s">
        <v>105</v>
      </c>
      <c r="F36" s="12">
        <v>0</v>
      </c>
      <c r="G36" s="11"/>
    </row>
    <row r="37" spans="1:7" ht="42" customHeight="1" x14ac:dyDescent="0.25">
      <c r="A37" s="11">
        <v>36</v>
      </c>
      <c r="B37" s="11" t="s">
        <v>61</v>
      </c>
      <c r="C37" s="11" t="s">
        <v>62</v>
      </c>
      <c r="D37" s="11" t="s">
        <v>63</v>
      </c>
      <c r="E37" s="11" t="s">
        <v>106</v>
      </c>
      <c r="F37" s="12">
        <v>0</v>
      </c>
      <c r="G37" s="11"/>
    </row>
    <row r="38" spans="1:7" ht="42" customHeight="1" x14ac:dyDescent="0.25">
      <c r="A38" s="11">
        <v>37</v>
      </c>
      <c r="B38" s="11" t="s">
        <v>61</v>
      </c>
      <c r="C38" s="11" t="s">
        <v>62</v>
      </c>
      <c r="D38" s="11" t="s">
        <v>63</v>
      </c>
      <c r="E38" s="11" t="s">
        <v>107</v>
      </c>
      <c r="F38" s="12">
        <v>1</v>
      </c>
      <c r="G38" s="11"/>
    </row>
    <row r="39" spans="1:7" ht="42" customHeight="1" x14ac:dyDescent="0.25">
      <c r="A39" s="11">
        <v>38</v>
      </c>
      <c r="B39" s="11" t="s">
        <v>57</v>
      </c>
      <c r="C39" s="11" t="s">
        <v>58</v>
      </c>
      <c r="D39" s="11" t="s">
        <v>59</v>
      </c>
      <c r="E39" s="11" t="s">
        <v>108</v>
      </c>
      <c r="F39" s="12">
        <v>1</v>
      </c>
      <c r="G39" s="11"/>
    </row>
    <row r="40" spans="1:7" ht="42" customHeight="1" x14ac:dyDescent="0.25">
      <c r="A40" s="11">
        <v>39</v>
      </c>
      <c r="B40" s="11" t="s">
        <v>41</v>
      </c>
      <c r="C40" s="11" t="s">
        <v>42</v>
      </c>
      <c r="D40" s="11" t="s">
        <v>43</v>
      </c>
      <c r="E40" s="11" t="s">
        <v>109</v>
      </c>
      <c r="F40" s="12">
        <v>0</v>
      </c>
      <c r="G40" s="11"/>
    </row>
    <row r="41" spans="1:7" ht="42" customHeight="1" x14ac:dyDescent="0.25">
      <c r="A41" s="11">
        <v>40</v>
      </c>
      <c r="B41" s="11" t="s">
        <v>79</v>
      </c>
      <c r="C41" s="11" t="s">
        <v>80</v>
      </c>
      <c r="D41" s="11" t="s">
        <v>81</v>
      </c>
      <c r="E41" s="11" t="s">
        <v>110</v>
      </c>
      <c r="F41" s="12">
        <v>0</v>
      </c>
      <c r="G41" s="11"/>
    </row>
    <row r="42" spans="1:7" ht="42" customHeight="1" x14ac:dyDescent="0.25">
      <c r="A42" s="11">
        <v>41</v>
      </c>
      <c r="B42" s="11" t="s">
        <v>66</v>
      </c>
      <c r="C42" s="11" t="s">
        <v>67</v>
      </c>
      <c r="D42" s="11" t="s">
        <v>68</v>
      </c>
      <c r="E42" s="11" t="s">
        <v>111</v>
      </c>
      <c r="F42" s="12">
        <v>1</v>
      </c>
      <c r="G42" s="11"/>
    </row>
    <row r="43" spans="1:7" ht="42" customHeight="1" x14ac:dyDescent="0.25">
      <c r="A43" s="11">
        <v>42</v>
      </c>
      <c r="B43" s="11" t="s">
        <v>72</v>
      </c>
      <c r="C43" s="11" t="s">
        <v>73</v>
      </c>
      <c r="D43" s="11" t="s">
        <v>74</v>
      </c>
      <c r="E43" s="11" t="s">
        <v>112</v>
      </c>
      <c r="F43" s="12">
        <v>0</v>
      </c>
      <c r="G43" s="11"/>
    </row>
    <row r="44" spans="1:7" ht="42" customHeight="1" x14ac:dyDescent="0.25">
      <c r="A44" s="11">
        <v>43</v>
      </c>
      <c r="B44" s="11" t="s">
        <v>66</v>
      </c>
      <c r="C44" s="11" t="s">
        <v>67</v>
      </c>
      <c r="D44" s="11" t="s">
        <v>68</v>
      </c>
      <c r="E44" s="11" t="s">
        <v>113</v>
      </c>
      <c r="F44" s="12">
        <v>0</v>
      </c>
      <c r="G44" s="11"/>
    </row>
    <row r="45" spans="1:7" ht="42" customHeight="1" x14ac:dyDescent="0.25">
      <c r="A45" s="11">
        <v>44</v>
      </c>
      <c r="B45" s="11" t="s">
        <v>66</v>
      </c>
      <c r="C45" s="11" t="s">
        <v>67</v>
      </c>
      <c r="D45" s="11" t="s">
        <v>68</v>
      </c>
      <c r="E45" s="11" t="s">
        <v>114</v>
      </c>
      <c r="F45" s="12">
        <v>0</v>
      </c>
      <c r="G45" s="11"/>
    </row>
    <row r="46" spans="1:7" ht="42" customHeight="1" x14ac:dyDescent="0.25">
      <c r="A46" s="11">
        <v>45</v>
      </c>
      <c r="B46" s="11" t="s">
        <v>53</v>
      </c>
      <c r="C46" s="11" t="s">
        <v>54</v>
      </c>
      <c r="D46" s="11" t="s">
        <v>55</v>
      </c>
      <c r="E46" s="11" t="s">
        <v>115</v>
      </c>
      <c r="F46" s="12">
        <v>0</v>
      </c>
      <c r="G46" s="11"/>
    </row>
    <row r="47" spans="1:7" ht="42" customHeight="1" x14ac:dyDescent="0.25">
      <c r="A47" s="11">
        <v>46</v>
      </c>
      <c r="B47" s="11" t="s">
        <v>49</v>
      </c>
      <c r="C47" s="11" t="s">
        <v>50</v>
      </c>
      <c r="D47" s="11" t="s">
        <v>51</v>
      </c>
      <c r="E47" s="11" t="s">
        <v>116</v>
      </c>
      <c r="F47" s="12">
        <v>0</v>
      </c>
      <c r="G47" s="11"/>
    </row>
    <row r="48" spans="1:7" ht="42" customHeight="1" x14ac:dyDescent="0.25">
      <c r="A48" s="11">
        <v>47</v>
      </c>
      <c r="B48" s="11" t="s">
        <v>49</v>
      </c>
      <c r="C48" s="11" t="s">
        <v>50</v>
      </c>
      <c r="D48" s="11" t="s">
        <v>51</v>
      </c>
      <c r="E48" s="11" t="s">
        <v>117</v>
      </c>
      <c r="F48" s="12">
        <v>1</v>
      </c>
      <c r="G48" s="11"/>
    </row>
    <row r="49" spans="1:7" ht="42" customHeight="1" x14ac:dyDescent="0.25">
      <c r="A49" s="11">
        <v>48</v>
      </c>
      <c r="B49" s="11" t="s">
        <v>57</v>
      </c>
      <c r="C49" s="11" t="s">
        <v>58</v>
      </c>
      <c r="D49" s="11" t="s">
        <v>59</v>
      </c>
      <c r="E49" s="11" t="s">
        <v>118</v>
      </c>
      <c r="F49" s="12">
        <v>1</v>
      </c>
      <c r="G49" s="11"/>
    </row>
    <row r="50" spans="1:7" ht="42" customHeight="1" x14ac:dyDescent="0.25">
      <c r="A50" s="11">
        <v>49</v>
      </c>
      <c r="B50" s="11" t="s">
        <v>66</v>
      </c>
      <c r="C50" s="11" t="s">
        <v>67</v>
      </c>
      <c r="D50" s="11" t="s">
        <v>68</v>
      </c>
      <c r="E50" s="11" t="s">
        <v>119</v>
      </c>
      <c r="F50" s="12">
        <v>0</v>
      </c>
      <c r="G50" s="11"/>
    </row>
    <row r="51" spans="1:7" ht="42" customHeight="1" x14ac:dyDescent="0.25">
      <c r="A51" s="11">
        <v>50</v>
      </c>
      <c r="B51" s="11" t="s">
        <v>88</v>
      </c>
      <c r="C51" s="11" t="s">
        <v>89</v>
      </c>
      <c r="D51" s="11" t="s">
        <v>90</v>
      </c>
      <c r="E51" s="11" t="s">
        <v>120</v>
      </c>
      <c r="F51" s="12">
        <v>1</v>
      </c>
      <c r="G51" s="11"/>
    </row>
  </sheetData>
  <autoFilter ref="A1:G51" xr:uid="{00000000-0009-0000-0000-000001000000}"/>
  <dataValidations count="1">
    <dataValidation type="list" allowBlank="1" errorTitle="Valor no válido" error="Escribe 1 o 0." sqref="F2:F51" xr:uid="{00000000-0002-0000-0100-000000000000}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8" activePane="bottomLeft" state="frozen"/>
      <selection pane="bottomLeft" activeCell="F21" sqref="F21"/>
    </sheetView>
  </sheetViews>
  <sheetFormatPr baseColWidth="10" defaultColWidth="9.140625" defaultRowHeight="15" x14ac:dyDescent="0.25"/>
  <cols>
    <col min="1" max="1" width="5" customWidth="1"/>
    <col min="2" max="2" width="30" customWidth="1"/>
    <col min="3" max="3" width="40" customWidth="1"/>
    <col min="4" max="4" width="80" customWidth="1"/>
    <col min="5" max="5" width="12" customWidth="1"/>
    <col min="6" max="6" width="30" customWidth="1"/>
  </cols>
  <sheetData>
    <row r="1" spans="1:6" ht="39.950000000000003" customHeight="1" x14ac:dyDescent="0.25">
      <c r="A1" s="10" t="s">
        <v>36</v>
      </c>
      <c r="B1" s="10" t="s">
        <v>18</v>
      </c>
      <c r="C1" s="10" t="s">
        <v>38</v>
      </c>
      <c r="D1" s="10" t="s">
        <v>121</v>
      </c>
      <c r="E1" s="10" t="s">
        <v>122</v>
      </c>
      <c r="F1" s="10" t="s">
        <v>40</v>
      </c>
    </row>
    <row r="2" spans="1:6" ht="110.1" customHeight="1" x14ac:dyDescent="0.25">
      <c r="A2" s="11">
        <v>1</v>
      </c>
      <c r="B2" s="11" t="s">
        <v>58</v>
      </c>
      <c r="C2" s="11" t="s">
        <v>59</v>
      </c>
      <c r="D2" s="11" t="s">
        <v>123</v>
      </c>
      <c r="E2" s="12">
        <v>5</v>
      </c>
      <c r="F2" s="11"/>
    </row>
    <row r="3" spans="1:6" ht="110.1" customHeight="1" x14ac:dyDescent="0.25">
      <c r="A3" s="11">
        <v>2</v>
      </c>
      <c r="B3" s="11" t="s">
        <v>67</v>
      </c>
      <c r="C3" s="11" t="s">
        <v>68</v>
      </c>
      <c r="D3" s="11" t="s">
        <v>124</v>
      </c>
      <c r="E3" s="12">
        <v>3</v>
      </c>
      <c r="F3" s="11"/>
    </row>
    <row r="4" spans="1:6" ht="110.1" customHeight="1" x14ac:dyDescent="0.25">
      <c r="A4" s="11">
        <v>3</v>
      </c>
      <c r="B4" s="11" t="s">
        <v>54</v>
      </c>
      <c r="C4" s="11" t="s">
        <v>55</v>
      </c>
      <c r="D4" s="11" t="s">
        <v>125</v>
      </c>
      <c r="E4" s="12">
        <v>5</v>
      </c>
      <c r="F4" s="11"/>
    </row>
    <row r="5" spans="1:6" ht="110.1" customHeight="1" x14ac:dyDescent="0.25">
      <c r="A5" s="11">
        <v>4</v>
      </c>
      <c r="B5" s="11" t="s">
        <v>50</v>
      </c>
      <c r="C5" s="11" t="s">
        <v>51</v>
      </c>
      <c r="D5" s="11" t="s">
        <v>126</v>
      </c>
      <c r="E5" s="12">
        <v>1</v>
      </c>
      <c r="F5" s="11"/>
    </row>
    <row r="6" spans="1:6" ht="110.1" customHeight="1" x14ac:dyDescent="0.25">
      <c r="A6" s="11">
        <v>5</v>
      </c>
      <c r="B6" s="11" t="s">
        <v>46</v>
      </c>
      <c r="C6" s="11" t="s">
        <v>47</v>
      </c>
      <c r="D6" s="11" t="s">
        <v>127</v>
      </c>
      <c r="E6" s="12">
        <v>3</v>
      </c>
      <c r="F6" s="11"/>
    </row>
    <row r="7" spans="1:6" ht="110.1" customHeight="1" x14ac:dyDescent="0.25">
      <c r="A7" s="11">
        <v>6</v>
      </c>
      <c r="B7" s="11" t="s">
        <v>42</v>
      </c>
      <c r="C7" s="11" t="s">
        <v>43</v>
      </c>
      <c r="D7" s="11" t="s">
        <v>128</v>
      </c>
      <c r="E7" s="12">
        <v>4</v>
      </c>
      <c r="F7" s="11"/>
    </row>
    <row r="8" spans="1:6" ht="110.1" customHeight="1" x14ac:dyDescent="0.25">
      <c r="A8" s="11">
        <v>7</v>
      </c>
      <c r="B8" s="11" t="s">
        <v>73</v>
      </c>
      <c r="C8" s="11" t="s">
        <v>74</v>
      </c>
      <c r="D8" s="11" t="s">
        <v>129</v>
      </c>
      <c r="E8" s="12">
        <v>4</v>
      </c>
      <c r="F8" s="11"/>
    </row>
    <row r="9" spans="1:6" ht="110.1" customHeight="1" x14ac:dyDescent="0.25">
      <c r="A9" s="11">
        <v>8</v>
      </c>
      <c r="B9" s="11" t="s">
        <v>80</v>
      </c>
      <c r="C9" s="11" t="s">
        <v>81</v>
      </c>
      <c r="D9" s="11" t="s">
        <v>130</v>
      </c>
      <c r="E9" s="12">
        <v>2</v>
      </c>
      <c r="F9" s="11"/>
    </row>
    <row r="10" spans="1:6" ht="110.1" customHeight="1" x14ac:dyDescent="0.25">
      <c r="A10" s="11">
        <v>9</v>
      </c>
      <c r="B10" s="11" t="s">
        <v>89</v>
      </c>
      <c r="C10" s="11" t="s">
        <v>90</v>
      </c>
      <c r="D10" s="11" t="s">
        <v>131</v>
      </c>
      <c r="E10" s="12">
        <v>5</v>
      </c>
      <c r="F10" s="11"/>
    </row>
    <row r="11" spans="1:6" ht="110.1" customHeight="1" x14ac:dyDescent="0.25">
      <c r="A11" s="11">
        <v>10</v>
      </c>
      <c r="B11" s="11" t="s">
        <v>62</v>
      </c>
      <c r="C11" s="11" t="s">
        <v>63</v>
      </c>
      <c r="D11" s="11" t="s">
        <v>132</v>
      </c>
      <c r="E11" s="12">
        <v>5</v>
      </c>
      <c r="F11" s="11"/>
    </row>
  </sheetData>
  <dataValidations count="1">
    <dataValidation type="list" allowBlank="1" errorTitle="Valor no válido" error="Escribe un número del 1 al 5." sqref="E2:E11" xr:uid="{00000000-0002-0000-0200-000000000000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Anotacion</vt:lpstr>
      <vt:lpstr>Pantallas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Castaño Arroyave</cp:lastModifiedBy>
  <dcterms:created xsi:type="dcterms:W3CDTF">2026-09-01T00:43:05Z</dcterms:created>
  <dcterms:modified xsi:type="dcterms:W3CDTF">2026-09-07T02:09:25Z</dcterms:modified>
</cp:coreProperties>
</file>